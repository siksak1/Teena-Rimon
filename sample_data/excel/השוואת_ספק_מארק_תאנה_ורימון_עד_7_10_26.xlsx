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שלומית\Downloads\"/>
    </mc:Choice>
  </mc:AlternateContent>
  <xr:revisionPtr revIDLastSave="0" documentId="13_ncr:1_{707C9CC1-611D-4516-94CF-BD7D4C1E07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השוואה מרוכזת" sheetId="1" r:id="rId1"/>
  </sheets>
  <calcPr calcId="191029"/>
</workbook>
</file>

<file path=xl/calcChain.xml><?xml version="1.0" encoding="utf-8"?>
<calcChain xmlns="http://schemas.openxmlformats.org/spreadsheetml/2006/main">
  <c r="F74" i="1" l="1"/>
  <c r="G74" i="1"/>
  <c r="H74" i="1"/>
  <c r="I74" i="1"/>
  <c r="J74" i="1"/>
  <c r="E74" i="1"/>
</calcChain>
</file>

<file path=xl/sharedStrings.xml><?xml version="1.0" encoding="utf-8"?>
<sst xmlns="http://schemas.openxmlformats.org/spreadsheetml/2006/main" count="227" uniqueCount="65">
  <si>
    <t>תאריך</t>
  </si>
  <si>
    <t>אסמכתא</t>
  </si>
  <si>
    <t>מגדל</t>
  </si>
  <si>
    <t>תוצרת</t>
  </si>
  <si>
    <t>סך הכל משקל אצל מארק</t>
  </si>
  <si>
    <t>סך הכל משקל תאנה ורימון</t>
  </si>
  <si>
    <t>הפרש משקלים</t>
  </si>
  <si>
    <t>סך הכל עלות מארק</t>
  </si>
  <si>
    <t>סך הכל עלות תאנה ורימון</t>
  </si>
  <si>
    <t>הפרש סך הכל עלות</t>
  </si>
  <si>
    <t>09/09/2026</t>
  </si>
  <si>
    <t>ביטן ראובן</t>
  </si>
  <si>
    <t>חציל</t>
  </si>
  <si>
    <t>16/09/2026</t>
  </si>
  <si>
    <t>משק ניסקה</t>
  </si>
  <si>
    <t>אננס</t>
  </si>
  <si>
    <t>03/10/2026</t>
  </si>
  <si>
    <t>04/10/2026</t>
  </si>
  <si>
    <t>דהאן פרותס</t>
  </si>
  <si>
    <t>רימון</t>
  </si>
  <si>
    <t>08/10/2026</t>
  </si>
  <si>
    <t>ערדום</t>
  </si>
  <si>
    <t>מלון</t>
  </si>
  <si>
    <t>30/09/2026</t>
  </si>
  <si>
    <t>תמיר ומירב גידול ושיווק</t>
  </si>
  <si>
    <t>01/10/2026</t>
  </si>
  <si>
    <t>פרי גיא שיווק ותוצרת חקלאית בע"מ</t>
  </si>
  <si>
    <t>ענבים</t>
  </si>
  <si>
    <t>יורם פורטל</t>
  </si>
  <si>
    <t>05/10/2026</t>
  </si>
  <si>
    <t>06/10/2026</t>
  </si>
  <si>
    <t>15/09/2026</t>
  </si>
  <si>
    <t>משק מלצר</t>
  </si>
  <si>
    <t>אבטיח קרטון</t>
  </si>
  <si>
    <t>22/09/2026</t>
  </si>
  <si>
    <t>עדי חדד</t>
  </si>
  <si>
    <t>עגבניה</t>
  </si>
  <si>
    <t>שרי</t>
  </si>
  <si>
    <t>23/09/2026</t>
  </si>
  <si>
    <t>26/09/2026</t>
  </si>
  <si>
    <t>27/09/2026</t>
  </si>
  <si>
    <t>28/09/2026</t>
  </si>
  <si>
    <t>כרמלים שדות חדשים בע"מ</t>
  </si>
  <si>
    <t>תירס</t>
  </si>
  <si>
    <t>07/10/2026</t>
  </si>
  <si>
    <t>10/09/2026</t>
  </si>
  <si>
    <t>אופיר בן יוסף</t>
  </si>
  <si>
    <t>פפאיה</t>
  </si>
  <si>
    <t>20/09/2026</t>
  </si>
  <si>
    <t>ברמי ניר</t>
  </si>
  <si>
    <t>11/09/2026</t>
  </si>
  <si>
    <t>משק מלצר בע"מ</t>
  </si>
  <si>
    <t>אבטיח</t>
  </si>
  <si>
    <t>14/09/2026</t>
  </si>
  <si>
    <t>17/09/2026</t>
  </si>
  <si>
    <t>25/09/2026</t>
  </si>
  <si>
    <t>29/09/2026</t>
  </si>
  <si>
    <t>מלון תפזורת</t>
  </si>
  <si>
    <t>13/09/2026</t>
  </si>
  <si>
    <t>קושמרו יוסי</t>
  </si>
  <si>
    <t>פלפל</t>
  </si>
  <si>
    <t>21/09/2026</t>
  </si>
  <si>
    <t>תירס תפזורת</t>
  </si>
  <si>
    <t>תירס לבן מתוק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</si>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</sst>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rightToLeft="1" tabSelected="1" workbookViewId="0">
      <selection activeCell="O25" sqref="O25"/>
    </sheetView>
  </sheetViews>
  <sheetFormatPr defaultRowHeight="14.25" x14ac:dyDescent="0.2"/>
  <cols>
    <col min="1" max="1" width="9.75" customWidth="1"/>
    <col min="2" max="2" width="9.625" customWidth="1"/>
    <col min="3" max="3" width="26.75" customWidth="1"/>
    <col min="4" max="4" width="18" customWidth="1"/>
    <col min="5" max="5" width="11.375" customWidth="1"/>
    <col min="6" max="6" width="14.375" customWidth="1"/>
    <col min="7" max="7" width="11" customWidth="1"/>
    <col min="8" max="8" width="12.875" customWidth="1"/>
    <col min="9" max="9" width="11.875" customWidth="1"/>
    <col min="10" max="10" width="12.25" customWidth="1"/>
  </cols>
  <sheetData>
    <row r="1" spans="1:10" ht="45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1" t="s">
        <v>10</v>
      </c>
      <c r="B2" s="1">
        <v>94</v>
      </c>
      <c r="C2" s="1" t="s">
        <v>11</v>
      </c>
      <c r="D2" s="1" t="s">
        <v>12</v>
      </c>
      <c r="E2" s="2">
        <v>2427</v>
      </c>
      <c r="F2" s="2">
        <v>2427</v>
      </c>
      <c r="G2" s="2">
        <v>0</v>
      </c>
      <c r="H2" s="2">
        <v>12897</v>
      </c>
      <c r="I2" s="2">
        <v>12820.1</v>
      </c>
      <c r="J2" s="2">
        <v>-76.900000000000006</v>
      </c>
    </row>
    <row r="3" spans="1:10" x14ac:dyDescent="0.2">
      <c r="A3" s="1" t="s">
        <v>13</v>
      </c>
      <c r="B3" s="1">
        <v>109</v>
      </c>
      <c r="C3" s="1" t="s">
        <v>14</v>
      </c>
      <c r="D3" s="1" t="s">
        <v>15</v>
      </c>
      <c r="E3" s="2">
        <v>71</v>
      </c>
      <c r="F3" s="2">
        <v>71</v>
      </c>
      <c r="G3" s="2">
        <v>0</v>
      </c>
      <c r="H3" s="2">
        <v>2840</v>
      </c>
      <c r="I3" s="2">
        <v>2840</v>
      </c>
      <c r="J3" s="2">
        <v>0</v>
      </c>
    </row>
    <row r="4" spans="1:10" x14ac:dyDescent="0.2">
      <c r="A4" s="1" t="s">
        <v>16</v>
      </c>
      <c r="B4" s="1">
        <v>204</v>
      </c>
      <c r="C4" s="1" t="s">
        <v>11</v>
      </c>
      <c r="D4" s="1" t="s">
        <v>12</v>
      </c>
      <c r="E4" s="2">
        <v>1121</v>
      </c>
      <c r="F4" s="2">
        <v>1141</v>
      </c>
      <c r="G4" s="2">
        <v>20</v>
      </c>
      <c r="H4" s="2">
        <v>3080.5</v>
      </c>
      <c r="I4" s="2">
        <v>3993.5</v>
      </c>
      <c r="J4" s="2">
        <v>913</v>
      </c>
    </row>
    <row r="5" spans="1:10" x14ac:dyDescent="0.2">
      <c r="A5" s="1" t="s">
        <v>17</v>
      </c>
      <c r="B5" s="1">
        <v>640</v>
      </c>
      <c r="C5" s="1" t="s">
        <v>18</v>
      </c>
      <c r="D5" s="1" t="s">
        <v>19</v>
      </c>
      <c r="E5" s="2">
        <v>445</v>
      </c>
      <c r="F5" s="2">
        <v>465.99</v>
      </c>
      <c r="G5" s="2">
        <v>20.99</v>
      </c>
      <c r="H5" s="2">
        <v>2002.5</v>
      </c>
      <c r="I5" s="2">
        <v>1258.17</v>
      </c>
      <c r="J5" s="2">
        <v>-744.33</v>
      </c>
    </row>
    <row r="6" spans="1:10" x14ac:dyDescent="0.2">
      <c r="A6" s="1" t="s">
        <v>20</v>
      </c>
      <c r="B6" s="1">
        <v>823</v>
      </c>
      <c r="C6" s="1" t="s">
        <v>21</v>
      </c>
      <c r="D6" s="1" t="s">
        <v>22</v>
      </c>
      <c r="E6" s="2">
        <v>2329</v>
      </c>
      <c r="F6" s="2">
        <v>0</v>
      </c>
      <c r="G6" s="2">
        <v>-2329</v>
      </c>
      <c r="H6" s="2">
        <v>7441.8</v>
      </c>
      <c r="I6" s="2">
        <v>0</v>
      </c>
      <c r="J6" s="2">
        <v>-7441.8</v>
      </c>
    </row>
    <row r="7" spans="1:10" x14ac:dyDescent="0.2">
      <c r="A7" s="1" t="s">
        <v>23</v>
      </c>
      <c r="B7" s="1">
        <v>1003</v>
      </c>
      <c r="C7" s="1" t="s">
        <v>24</v>
      </c>
      <c r="D7" s="1" t="s">
        <v>15</v>
      </c>
      <c r="E7" s="2">
        <v>68</v>
      </c>
      <c r="F7" s="2">
        <v>68</v>
      </c>
      <c r="G7" s="2">
        <v>0</v>
      </c>
      <c r="H7" s="2">
        <v>5380</v>
      </c>
      <c r="I7" s="2">
        <v>5442</v>
      </c>
      <c r="J7" s="2">
        <v>62</v>
      </c>
    </row>
    <row r="8" spans="1:10" x14ac:dyDescent="0.2">
      <c r="A8" s="1" t="s">
        <v>25</v>
      </c>
      <c r="B8" s="1">
        <v>1076</v>
      </c>
      <c r="C8" s="1" t="s">
        <v>26</v>
      </c>
      <c r="D8" s="1" t="s">
        <v>27</v>
      </c>
      <c r="E8" s="2">
        <v>442</v>
      </c>
      <c r="F8" s="2">
        <v>450</v>
      </c>
      <c r="G8" s="2">
        <v>8</v>
      </c>
      <c r="H8" s="2">
        <v>3978</v>
      </c>
      <c r="I8" s="2">
        <v>4050</v>
      </c>
      <c r="J8" s="2">
        <v>72</v>
      </c>
    </row>
    <row r="9" spans="1:10" x14ac:dyDescent="0.2">
      <c r="A9" s="1" t="s">
        <v>23</v>
      </c>
      <c r="B9" s="1">
        <v>1756</v>
      </c>
      <c r="C9" s="1" t="s">
        <v>28</v>
      </c>
      <c r="D9" s="1" t="s">
        <v>19</v>
      </c>
      <c r="E9" s="2">
        <v>1052</v>
      </c>
      <c r="F9" s="2">
        <v>1064</v>
      </c>
      <c r="G9" s="2">
        <v>12</v>
      </c>
      <c r="H9" s="2">
        <v>3418</v>
      </c>
      <c r="I9" s="2">
        <v>4256</v>
      </c>
      <c r="J9" s="2">
        <v>838</v>
      </c>
    </row>
    <row r="10" spans="1:10" x14ac:dyDescent="0.2">
      <c r="A10" s="1" t="s">
        <v>16</v>
      </c>
      <c r="B10" s="1">
        <v>1761</v>
      </c>
      <c r="C10" s="1" t="s">
        <v>28</v>
      </c>
      <c r="D10" s="1" t="s">
        <v>19</v>
      </c>
      <c r="E10" s="2">
        <v>2049</v>
      </c>
      <c r="F10" s="2">
        <v>2072</v>
      </c>
      <c r="G10" s="2">
        <v>23</v>
      </c>
      <c r="H10" s="2">
        <v>6147</v>
      </c>
      <c r="I10" s="2">
        <v>6216</v>
      </c>
      <c r="J10" s="2">
        <v>69</v>
      </c>
    </row>
    <row r="11" spans="1:10" x14ac:dyDescent="0.2">
      <c r="A11" s="1" t="s">
        <v>29</v>
      </c>
      <c r="B11" s="1">
        <v>1762</v>
      </c>
      <c r="C11" s="1" t="s">
        <v>28</v>
      </c>
      <c r="D11" s="1" t="s">
        <v>19</v>
      </c>
      <c r="E11" s="2">
        <v>3175</v>
      </c>
      <c r="F11" s="2">
        <v>3180</v>
      </c>
      <c r="G11" s="2">
        <v>5</v>
      </c>
      <c r="H11" s="2">
        <v>11112.5</v>
      </c>
      <c r="I11" s="2">
        <v>9540</v>
      </c>
      <c r="J11" s="2">
        <v>-1572.5</v>
      </c>
    </row>
    <row r="12" spans="1:10" x14ac:dyDescent="0.2">
      <c r="A12" s="1" t="s">
        <v>30</v>
      </c>
      <c r="B12" s="1">
        <v>1764</v>
      </c>
      <c r="C12" s="1" t="s">
        <v>28</v>
      </c>
      <c r="D12" s="1" t="s">
        <v>19</v>
      </c>
      <c r="E12" s="2">
        <v>1895</v>
      </c>
      <c r="F12" s="2">
        <v>1919</v>
      </c>
      <c r="G12" s="2">
        <v>24</v>
      </c>
      <c r="H12" s="2">
        <v>7044.5</v>
      </c>
      <c r="I12" s="2">
        <v>6553.6</v>
      </c>
      <c r="J12" s="2">
        <v>-490.9</v>
      </c>
    </row>
    <row r="13" spans="1:10" x14ac:dyDescent="0.2">
      <c r="A13" s="1" t="s">
        <v>31</v>
      </c>
      <c r="B13" s="1">
        <v>2996</v>
      </c>
      <c r="C13" s="1" t="s">
        <v>32</v>
      </c>
      <c r="D13" s="1" t="s">
        <v>33</v>
      </c>
      <c r="E13" s="2">
        <v>4200</v>
      </c>
      <c r="F13" s="2">
        <v>0</v>
      </c>
      <c r="G13" s="2">
        <v>-4200</v>
      </c>
      <c r="H13" s="2">
        <v>10837.5</v>
      </c>
      <c r="I13" s="2">
        <v>0</v>
      </c>
      <c r="J13" s="2">
        <v>-10837.5</v>
      </c>
    </row>
    <row r="14" spans="1:10" x14ac:dyDescent="0.2">
      <c r="A14" s="1" t="s">
        <v>34</v>
      </c>
      <c r="B14" s="1">
        <v>7988</v>
      </c>
      <c r="C14" s="1" t="s">
        <v>35</v>
      </c>
      <c r="D14" s="1" t="s">
        <v>36</v>
      </c>
      <c r="E14" s="2">
        <v>668</v>
      </c>
      <c r="F14" s="2">
        <v>675</v>
      </c>
      <c r="G14" s="2">
        <v>7</v>
      </c>
      <c r="H14" s="2">
        <v>5410.8</v>
      </c>
      <c r="I14" s="2">
        <v>5535</v>
      </c>
      <c r="J14" s="2">
        <v>124.2</v>
      </c>
    </row>
    <row r="15" spans="1:10" x14ac:dyDescent="0.2">
      <c r="A15" s="1" t="s">
        <v>34</v>
      </c>
      <c r="B15" s="1">
        <v>7988</v>
      </c>
      <c r="C15" s="1" t="s">
        <v>35</v>
      </c>
      <c r="D15" s="1" t="s">
        <v>37</v>
      </c>
      <c r="E15" s="2">
        <v>675</v>
      </c>
      <c r="F15" s="2">
        <v>679</v>
      </c>
      <c r="G15" s="2">
        <v>4</v>
      </c>
      <c r="H15" s="2">
        <v>7560</v>
      </c>
      <c r="I15" s="2">
        <v>8148</v>
      </c>
      <c r="J15" s="2">
        <v>588</v>
      </c>
    </row>
    <row r="16" spans="1:10" x14ac:dyDescent="0.2">
      <c r="A16" s="1" t="s">
        <v>38</v>
      </c>
      <c r="B16" s="1">
        <v>7998</v>
      </c>
      <c r="C16" s="1" t="s">
        <v>35</v>
      </c>
      <c r="D16" s="1" t="s">
        <v>36</v>
      </c>
      <c r="E16" s="2">
        <v>473</v>
      </c>
      <c r="F16" s="2">
        <v>480</v>
      </c>
      <c r="G16" s="2">
        <v>7</v>
      </c>
      <c r="H16" s="2">
        <v>3311</v>
      </c>
      <c r="I16" s="2">
        <v>3840</v>
      </c>
      <c r="J16" s="2">
        <v>529</v>
      </c>
    </row>
    <row r="17" spans="1:10" x14ac:dyDescent="0.2">
      <c r="A17" s="1" t="s">
        <v>39</v>
      </c>
      <c r="B17" s="1">
        <v>8010</v>
      </c>
      <c r="C17" s="1" t="s">
        <v>35</v>
      </c>
      <c r="D17" s="1" t="s">
        <v>36</v>
      </c>
      <c r="E17" s="2">
        <v>577</v>
      </c>
      <c r="F17" s="2">
        <v>578</v>
      </c>
      <c r="G17" s="2">
        <v>1</v>
      </c>
      <c r="H17" s="2">
        <v>4327.5</v>
      </c>
      <c r="I17" s="2">
        <v>4624</v>
      </c>
      <c r="J17" s="2">
        <v>296.5</v>
      </c>
    </row>
    <row r="18" spans="1:10" x14ac:dyDescent="0.2">
      <c r="A18" s="1" t="s">
        <v>40</v>
      </c>
      <c r="B18" s="1">
        <v>8023</v>
      </c>
      <c r="C18" s="1" t="s">
        <v>35</v>
      </c>
      <c r="D18" s="1" t="s">
        <v>36</v>
      </c>
      <c r="E18" s="2">
        <v>593</v>
      </c>
      <c r="F18" s="2">
        <v>602</v>
      </c>
      <c r="G18" s="2">
        <v>9</v>
      </c>
      <c r="H18" s="2">
        <v>3854.5</v>
      </c>
      <c r="I18" s="2">
        <v>5418</v>
      </c>
      <c r="J18" s="2">
        <v>1563.5</v>
      </c>
    </row>
    <row r="19" spans="1:10" x14ac:dyDescent="0.2">
      <c r="A19" s="1" t="s">
        <v>41</v>
      </c>
      <c r="B19" s="1">
        <v>8027</v>
      </c>
      <c r="C19" s="1" t="s">
        <v>35</v>
      </c>
      <c r="D19" s="1" t="s">
        <v>37</v>
      </c>
      <c r="E19" s="2">
        <v>608</v>
      </c>
      <c r="F19" s="2">
        <v>619</v>
      </c>
      <c r="G19" s="2">
        <v>11</v>
      </c>
      <c r="H19" s="2">
        <v>6688</v>
      </c>
      <c r="I19" s="2">
        <v>6809</v>
      </c>
      <c r="J19" s="2">
        <v>121</v>
      </c>
    </row>
    <row r="20" spans="1:10" x14ac:dyDescent="0.2">
      <c r="A20" s="1" t="s">
        <v>20</v>
      </c>
      <c r="B20" s="1">
        <v>8075</v>
      </c>
      <c r="C20" s="1" t="s">
        <v>35</v>
      </c>
      <c r="D20" s="1" t="s">
        <v>36</v>
      </c>
      <c r="E20" s="2">
        <v>604</v>
      </c>
      <c r="F20" s="2">
        <v>610</v>
      </c>
      <c r="G20" s="2">
        <v>6</v>
      </c>
      <c r="H20" s="2">
        <v>4228</v>
      </c>
      <c r="I20" s="2">
        <v>5917</v>
      </c>
      <c r="J20" s="2">
        <v>1689</v>
      </c>
    </row>
    <row r="21" spans="1:10" x14ac:dyDescent="0.2">
      <c r="A21" s="1" t="s">
        <v>29</v>
      </c>
      <c r="B21" s="1">
        <v>9457</v>
      </c>
      <c r="C21" s="1" t="s">
        <v>42</v>
      </c>
      <c r="D21" s="1" t="s">
        <v>43</v>
      </c>
      <c r="E21" s="2">
        <v>0</v>
      </c>
      <c r="F21" s="2">
        <v>1000</v>
      </c>
      <c r="G21" s="2">
        <v>1000</v>
      </c>
      <c r="H21" s="2">
        <v>0</v>
      </c>
      <c r="I21" s="2">
        <v>4500</v>
      </c>
      <c r="J21" s="2">
        <v>4500</v>
      </c>
    </row>
    <row r="22" spans="1:10" x14ac:dyDescent="0.2">
      <c r="A22" s="1" t="s">
        <v>30</v>
      </c>
      <c r="B22" s="1">
        <v>9496</v>
      </c>
      <c r="C22" s="1" t="s">
        <v>42</v>
      </c>
      <c r="D22" s="1" t="s">
        <v>43</v>
      </c>
      <c r="E22" s="2">
        <v>0</v>
      </c>
      <c r="F22" s="2">
        <v>1000</v>
      </c>
      <c r="G22" s="2">
        <v>1000</v>
      </c>
      <c r="H22" s="2">
        <v>0</v>
      </c>
      <c r="I22" s="2">
        <v>4500</v>
      </c>
      <c r="J22" s="2">
        <v>4500</v>
      </c>
    </row>
    <row r="23" spans="1:10" x14ac:dyDescent="0.2">
      <c r="A23" s="1" t="s">
        <v>44</v>
      </c>
      <c r="B23" s="1">
        <v>9556</v>
      </c>
      <c r="C23" s="1" t="s">
        <v>42</v>
      </c>
      <c r="D23" s="1" t="s">
        <v>43</v>
      </c>
      <c r="E23" s="2">
        <v>0</v>
      </c>
      <c r="F23" s="2">
        <v>1000</v>
      </c>
      <c r="G23" s="2">
        <v>1000</v>
      </c>
      <c r="H23" s="2">
        <v>0</v>
      </c>
      <c r="I23" s="2">
        <v>4500</v>
      </c>
      <c r="J23" s="2">
        <v>4500</v>
      </c>
    </row>
    <row r="24" spans="1:10" x14ac:dyDescent="0.2">
      <c r="A24" s="1" t="s">
        <v>45</v>
      </c>
      <c r="B24" s="1">
        <v>20920</v>
      </c>
      <c r="C24" s="1" t="s">
        <v>46</v>
      </c>
      <c r="D24" s="1" t="s">
        <v>15</v>
      </c>
      <c r="E24" s="2">
        <v>28</v>
      </c>
      <c r="F24" s="2">
        <v>28</v>
      </c>
      <c r="G24" s="2">
        <v>0</v>
      </c>
      <c r="H24" s="2">
        <v>1860</v>
      </c>
      <c r="I24" s="2">
        <v>2060</v>
      </c>
      <c r="J24" s="2">
        <v>200</v>
      </c>
    </row>
    <row r="25" spans="1:10" x14ac:dyDescent="0.2">
      <c r="A25" s="1" t="s">
        <v>13</v>
      </c>
      <c r="B25" s="1">
        <v>20929</v>
      </c>
      <c r="C25" s="1" t="s">
        <v>46</v>
      </c>
      <c r="D25" s="1" t="s">
        <v>47</v>
      </c>
      <c r="E25" s="2">
        <v>138</v>
      </c>
      <c r="F25" s="2">
        <v>138.5</v>
      </c>
      <c r="G25" s="2">
        <v>0.5</v>
      </c>
      <c r="H25" s="2">
        <v>379.5</v>
      </c>
      <c r="I25" s="2">
        <v>692.5</v>
      </c>
      <c r="J25" s="2">
        <v>313</v>
      </c>
    </row>
    <row r="26" spans="1:10" x14ac:dyDescent="0.2">
      <c r="A26" s="1" t="s">
        <v>30</v>
      </c>
      <c r="B26" s="1">
        <v>20955</v>
      </c>
      <c r="C26" s="1" t="s">
        <v>46</v>
      </c>
      <c r="D26" s="1" t="s">
        <v>47</v>
      </c>
      <c r="E26" s="2">
        <v>217</v>
      </c>
      <c r="F26" s="2">
        <v>214</v>
      </c>
      <c r="G26" s="2">
        <v>-3</v>
      </c>
      <c r="H26" s="2">
        <v>1085</v>
      </c>
      <c r="I26" s="2">
        <v>1070</v>
      </c>
      <c r="J26" s="2">
        <v>-15</v>
      </c>
    </row>
    <row r="27" spans="1:10" x14ac:dyDescent="0.2">
      <c r="A27" s="1" t="s">
        <v>48</v>
      </c>
      <c r="B27" s="1">
        <v>92263</v>
      </c>
      <c r="C27" s="1" t="s">
        <v>49</v>
      </c>
      <c r="D27" s="1" t="s">
        <v>22</v>
      </c>
      <c r="E27" s="2">
        <v>1297</v>
      </c>
      <c r="F27" s="2">
        <v>1298</v>
      </c>
      <c r="G27" s="2">
        <v>1</v>
      </c>
      <c r="H27" s="2">
        <v>5758.4</v>
      </c>
      <c r="I27" s="2">
        <v>5551</v>
      </c>
      <c r="J27" s="2">
        <v>-207.4</v>
      </c>
    </row>
    <row r="28" spans="1:10" x14ac:dyDescent="0.2">
      <c r="A28" s="1" t="s">
        <v>34</v>
      </c>
      <c r="B28" s="1">
        <v>92272</v>
      </c>
      <c r="C28" s="1" t="s">
        <v>49</v>
      </c>
      <c r="D28" s="1" t="s">
        <v>22</v>
      </c>
      <c r="E28" s="2">
        <v>1058</v>
      </c>
      <c r="F28" s="2">
        <v>1089</v>
      </c>
      <c r="G28" s="2">
        <v>31</v>
      </c>
      <c r="H28" s="2">
        <v>4761</v>
      </c>
      <c r="I28" s="2">
        <v>4356</v>
      </c>
      <c r="J28" s="2">
        <v>-405</v>
      </c>
    </row>
    <row r="29" spans="1:10" x14ac:dyDescent="0.2">
      <c r="A29" s="1" t="s">
        <v>25</v>
      </c>
      <c r="B29" s="1">
        <v>92324</v>
      </c>
      <c r="C29" s="1" t="s">
        <v>49</v>
      </c>
      <c r="D29" s="1" t="s">
        <v>22</v>
      </c>
      <c r="E29" s="2">
        <v>1000</v>
      </c>
      <c r="F29" s="2">
        <v>1011</v>
      </c>
      <c r="G29" s="2">
        <v>11</v>
      </c>
      <c r="H29" s="2">
        <v>3564</v>
      </c>
      <c r="I29" s="2">
        <v>3601</v>
      </c>
      <c r="J29" s="2">
        <v>37</v>
      </c>
    </row>
    <row r="30" spans="1:10" x14ac:dyDescent="0.2">
      <c r="A30" s="1" t="s">
        <v>50</v>
      </c>
      <c r="B30" s="1">
        <v>102190</v>
      </c>
      <c r="C30" s="1" t="s">
        <v>51</v>
      </c>
      <c r="D30" s="1" t="s">
        <v>52</v>
      </c>
      <c r="E30" s="2">
        <v>0</v>
      </c>
      <c r="F30" s="2">
        <v>4051</v>
      </c>
      <c r="G30" s="2">
        <v>4051</v>
      </c>
      <c r="H30" s="2">
        <v>0</v>
      </c>
      <c r="I30" s="2">
        <v>12254.8</v>
      </c>
      <c r="J30" s="2">
        <v>12254.8</v>
      </c>
    </row>
    <row r="31" spans="1:10" x14ac:dyDescent="0.2">
      <c r="A31" s="1" t="s">
        <v>53</v>
      </c>
      <c r="B31" s="1">
        <v>102190</v>
      </c>
      <c r="C31" s="1" t="s">
        <v>32</v>
      </c>
      <c r="D31" s="1" t="s">
        <v>33</v>
      </c>
      <c r="E31" s="2">
        <v>3905</v>
      </c>
      <c r="F31" s="2">
        <v>0</v>
      </c>
      <c r="G31" s="2">
        <v>-3905</v>
      </c>
      <c r="H31" s="2">
        <v>13440.5</v>
      </c>
      <c r="I31" s="2">
        <v>0</v>
      </c>
      <c r="J31" s="2">
        <v>-13440.5</v>
      </c>
    </row>
    <row r="32" spans="1:10" x14ac:dyDescent="0.2">
      <c r="A32" s="1" t="s">
        <v>53</v>
      </c>
      <c r="B32" s="1">
        <v>102203</v>
      </c>
      <c r="C32" s="1" t="s">
        <v>51</v>
      </c>
      <c r="D32" s="1" t="s">
        <v>52</v>
      </c>
      <c r="E32" s="2">
        <v>0</v>
      </c>
      <c r="F32" s="2">
        <v>4286</v>
      </c>
      <c r="G32" s="2">
        <v>4286</v>
      </c>
      <c r="H32" s="2">
        <v>0</v>
      </c>
      <c r="I32" s="2">
        <v>9857.7999999999993</v>
      </c>
      <c r="J32" s="2">
        <v>9857.7999999999993</v>
      </c>
    </row>
    <row r="33" spans="1:10" x14ac:dyDescent="0.2">
      <c r="A33" s="1" t="s">
        <v>31</v>
      </c>
      <c r="B33" s="1">
        <v>102214</v>
      </c>
      <c r="C33" s="1" t="s">
        <v>32</v>
      </c>
      <c r="D33" s="1" t="s">
        <v>33</v>
      </c>
      <c r="E33" s="2">
        <v>4559</v>
      </c>
      <c r="F33" s="2">
        <v>0</v>
      </c>
      <c r="G33" s="2">
        <v>-4559</v>
      </c>
      <c r="H33" s="2">
        <v>15342.6</v>
      </c>
      <c r="I33" s="2">
        <v>0</v>
      </c>
      <c r="J33" s="2">
        <v>-15342.6</v>
      </c>
    </row>
    <row r="34" spans="1:10" x14ac:dyDescent="0.2">
      <c r="A34" s="1" t="s">
        <v>31</v>
      </c>
      <c r="B34" s="1">
        <v>102214</v>
      </c>
      <c r="C34" s="1" t="s">
        <v>51</v>
      </c>
      <c r="D34" s="1" t="s">
        <v>52</v>
      </c>
      <c r="E34" s="2">
        <v>0</v>
      </c>
      <c r="F34" s="2">
        <v>4634</v>
      </c>
      <c r="G34" s="2">
        <v>4634</v>
      </c>
      <c r="H34" s="2">
        <v>0</v>
      </c>
      <c r="I34" s="2">
        <v>15191.4</v>
      </c>
      <c r="J34" s="2">
        <v>15191.4</v>
      </c>
    </row>
    <row r="35" spans="1:10" x14ac:dyDescent="0.2">
      <c r="A35" s="1" t="s">
        <v>54</v>
      </c>
      <c r="B35" s="1">
        <v>102223</v>
      </c>
      <c r="C35" s="1" t="s">
        <v>32</v>
      </c>
      <c r="D35" s="1" t="s">
        <v>33</v>
      </c>
      <c r="E35" s="2">
        <v>3890</v>
      </c>
      <c r="F35" s="2">
        <v>0</v>
      </c>
      <c r="G35" s="2">
        <v>-3890</v>
      </c>
      <c r="H35" s="2">
        <v>12081.2</v>
      </c>
      <c r="I35" s="2">
        <v>0</v>
      </c>
      <c r="J35" s="2">
        <v>-12081.2</v>
      </c>
    </row>
    <row r="36" spans="1:10" x14ac:dyDescent="0.2">
      <c r="A36" s="1" t="s">
        <v>13</v>
      </c>
      <c r="B36" s="1">
        <v>102223</v>
      </c>
      <c r="C36" s="1" t="s">
        <v>51</v>
      </c>
      <c r="D36" s="1" t="s">
        <v>52</v>
      </c>
      <c r="E36" s="2">
        <v>0</v>
      </c>
      <c r="F36" s="2">
        <v>3929</v>
      </c>
      <c r="G36" s="2">
        <v>3929</v>
      </c>
      <c r="H36" s="2">
        <v>0</v>
      </c>
      <c r="I36" s="2">
        <v>12036.4</v>
      </c>
      <c r="J36" s="2">
        <v>12036.4</v>
      </c>
    </row>
    <row r="37" spans="1:10" x14ac:dyDescent="0.2">
      <c r="A37" s="1" t="s">
        <v>34</v>
      </c>
      <c r="B37" s="1">
        <v>102250</v>
      </c>
      <c r="C37" s="1" t="s">
        <v>32</v>
      </c>
      <c r="D37" s="1" t="s">
        <v>33</v>
      </c>
      <c r="E37" s="2">
        <v>734</v>
      </c>
      <c r="F37" s="2">
        <v>0</v>
      </c>
      <c r="G37" s="2">
        <v>-734</v>
      </c>
      <c r="H37" s="2">
        <v>2202</v>
      </c>
      <c r="I37" s="2">
        <v>0</v>
      </c>
      <c r="J37" s="2">
        <v>-2202</v>
      </c>
    </row>
    <row r="38" spans="1:10" x14ac:dyDescent="0.2">
      <c r="A38" s="1" t="s">
        <v>48</v>
      </c>
      <c r="B38" s="1">
        <v>102250</v>
      </c>
      <c r="C38" s="1" t="s">
        <v>51</v>
      </c>
      <c r="D38" s="1" t="s">
        <v>52</v>
      </c>
      <c r="E38" s="2">
        <v>0</v>
      </c>
      <c r="F38" s="2">
        <v>747</v>
      </c>
      <c r="G38" s="2">
        <v>747</v>
      </c>
      <c r="H38" s="2">
        <v>0</v>
      </c>
      <c r="I38" s="2">
        <v>2763.9</v>
      </c>
      <c r="J38" s="2">
        <v>2763.9</v>
      </c>
    </row>
    <row r="39" spans="1:10" x14ac:dyDescent="0.2">
      <c r="A39" s="1" t="s">
        <v>34</v>
      </c>
      <c r="B39" s="1">
        <v>102265</v>
      </c>
      <c r="C39" s="1" t="s">
        <v>32</v>
      </c>
      <c r="D39" s="1" t="s">
        <v>33</v>
      </c>
      <c r="E39" s="2">
        <v>1455</v>
      </c>
      <c r="F39" s="2">
        <v>0</v>
      </c>
      <c r="G39" s="2">
        <v>-1455</v>
      </c>
      <c r="H39" s="2">
        <v>8371.5</v>
      </c>
      <c r="I39" s="2">
        <v>0</v>
      </c>
      <c r="J39" s="2">
        <v>-8371.5</v>
      </c>
    </row>
    <row r="40" spans="1:10" x14ac:dyDescent="0.2">
      <c r="A40" s="1" t="s">
        <v>34</v>
      </c>
      <c r="B40" s="1">
        <v>102265</v>
      </c>
      <c r="C40" s="1" t="s">
        <v>51</v>
      </c>
      <c r="D40" s="1" t="s">
        <v>52</v>
      </c>
      <c r="E40" s="2">
        <v>0</v>
      </c>
      <c r="F40" s="2">
        <v>1457</v>
      </c>
      <c r="G40" s="2">
        <v>1457</v>
      </c>
      <c r="H40" s="2">
        <v>0</v>
      </c>
      <c r="I40" s="2">
        <v>8013.5</v>
      </c>
      <c r="J40" s="2">
        <v>8013.5</v>
      </c>
    </row>
    <row r="41" spans="1:10" x14ac:dyDescent="0.2">
      <c r="A41" s="1" t="s">
        <v>40</v>
      </c>
      <c r="B41" s="1">
        <v>102293</v>
      </c>
      <c r="C41" s="1" t="s">
        <v>32</v>
      </c>
      <c r="D41" s="1" t="s">
        <v>33</v>
      </c>
      <c r="E41" s="2">
        <v>1358</v>
      </c>
      <c r="F41" s="2">
        <v>0</v>
      </c>
      <c r="G41" s="2">
        <v>-1358</v>
      </c>
      <c r="H41" s="2">
        <v>6248</v>
      </c>
      <c r="I41" s="2">
        <v>0</v>
      </c>
      <c r="J41" s="2">
        <v>-6248</v>
      </c>
    </row>
    <row r="42" spans="1:10" x14ac:dyDescent="0.2">
      <c r="A42" s="1" t="s">
        <v>55</v>
      </c>
      <c r="B42" s="1">
        <v>102293</v>
      </c>
      <c r="C42" s="1" t="s">
        <v>51</v>
      </c>
      <c r="D42" s="1" t="s">
        <v>52</v>
      </c>
      <c r="E42" s="2">
        <v>0</v>
      </c>
      <c r="F42" s="2">
        <v>1372</v>
      </c>
      <c r="G42" s="2">
        <v>1372</v>
      </c>
      <c r="H42" s="2">
        <v>0</v>
      </c>
      <c r="I42" s="2">
        <v>5899.6</v>
      </c>
      <c r="J42" s="2">
        <v>5899.6</v>
      </c>
    </row>
    <row r="43" spans="1:10" x14ac:dyDescent="0.2">
      <c r="A43" s="1" t="s">
        <v>56</v>
      </c>
      <c r="B43" s="1">
        <v>102324</v>
      </c>
      <c r="C43" s="1" t="s">
        <v>51</v>
      </c>
      <c r="D43" s="1" t="s">
        <v>52</v>
      </c>
      <c r="E43" s="2">
        <v>0</v>
      </c>
      <c r="F43" s="2">
        <v>5065</v>
      </c>
      <c r="G43" s="2">
        <v>5065</v>
      </c>
      <c r="H43" s="2">
        <v>0</v>
      </c>
      <c r="I43" s="2">
        <v>12221.8</v>
      </c>
      <c r="J43" s="2">
        <v>12221.8</v>
      </c>
    </row>
    <row r="44" spans="1:10" x14ac:dyDescent="0.2">
      <c r="A44" s="1" t="s">
        <v>23</v>
      </c>
      <c r="B44" s="1">
        <v>102324</v>
      </c>
      <c r="C44" s="1" t="s">
        <v>32</v>
      </c>
      <c r="D44" s="1" t="s">
        <v>33</v>
      </c>
      <c r="E44" s="2">
        <v>5043</v>
      </c>
      <c r="F44" s="2">
        <v>0</v>
      </c>
      <c r="G44" s="2">
        <v>-5043</v>
      </c>
      <c r="H44" s="2">
        <v>12884</v>
      </c>
      <c r="I44" s="2">
        <v>0</v>
      </c>
      <c r="J44" s="2">
        <v>-12884</v>
      </c>
    </row>
    <row r="45" spans="1:10" x14ac:dyDescent="0.2">
      <c r="A45" s="1" t="s">
        <v>16</v>
      </c>
      <c r="B45" s="1">
        <v>102350</v>
      </c>
      <c r="C45" s="1" t="s">
        <v>32</v>
      </c>
      <c r="D45" s="1" t="s">
        <v>33</v>
      </c>
      <c r="E45" s="2">
        <v>3016</v>
      </c>
      <c r="F45" s="2">
        <v>0</v>
      </c>
      <c r="G45" s="2">
        <v>-3016</v>
      </c>
      <c r="H45" s="2">
        <v>4225.3999999999996</v>
      </c>
      <c r="I45" s="2">
        <v>0</v>
      </c>
      <c r="J45" s="2">
        <v>-4225.3999999999996</v>
      </c>
    </row>
    <row r="46" spans="1:10" x14ac:dyDescent="0.2">
      <c r="A46" s="1" t="s">
        <v>17</v>
      </c>
      <c r="B46" s="1">
        <v>102370</v>
      </c>
      <c r="C46" s="1" t="s">
        <v>32</v>
      </c>
      <c r="D46" s="1" t="s">
        <v>33</v>
      </c>
      <c r="E46" s="2">
        <v>1335</v>
      </c>
      <c r="F46" s="2">
        <v>0</v>
      </c>
      <c r="G46" s="2">
        <v>-1335</v>
      </c>
      <c r="H46" s="2">
        <v>2995.5</v>
      </c>
      <c r="I46" s="2">
        <v>0</v>
      </c>
      <c r="J46" s="2">
        <v>-2995.5</v>
      </c>
    </row>
    <row r="47" spans="1:10" x14ac:dyDescent="0.2">
      <c r="A47" s="1" t="s">
        <v>44</v>
      </c>
      <c r="B47" s="1">
        <v>102397</v>
      </c>
      <c r="C47" s="1" t="s">
        <v>32</v>
      </c>
      <c r="D47" s="1" t="s">
        <v>33</v>
      </c>
      <c r="E47" s="2">
        <v>4210</v>
      </c>
      <c r="F47" s="2">
        <v>0</v>
      </c>
      <c r="G47" s="2">
        <v>-4210</v>
      </c>
      <c r="H47" s="2">
        <v>4248</v>
      </c>
      <c r="I47" s="2">
        <v>0</v>
      </c>
      <c r="J47" s="2">
        <v>-4248</v>
      </c>
    </row>
    <row r="48" spans="1:10" x14ac:dyDescent="0.2">
      <c r="A48" s="1" t="s">
        <v>44</v>
      </c>
      <c r="B48" s="1">
        <v>500823</v>
      </c>
      <c r="C48" s="1" t="s">
        <v>21</v>
      </c>
      <c r="D48" s="1" t="s">
        <v>57</v>
      </c>
      <c r="E48" s="2">
        <v>0</v>
      </c>
      <c r="F48" s="2">
        <v>2333</v>
      </c>
      <c r="G48" s="2">
        <v>2333</v>
      </c>
      <c r="H48" s="2">
        <v>0</v>
      </c>
      <c r="I48" s="2">
        <v>6299.1</v>
      </c>
      <c r="J48" s="2">
        <v>6299.1</v>
      </c>
    </row>
    <row r="49" spans="1:10" x14ac:dyDescent="0.2">
      <c r="A49" s="1" t="s">
        <v>58</v>
      </c>
      <c r="B49" s="1">
        <v>909870</v>
      </c>
      <c r="C49" s="1" t="s">
        <v>59</v>
      </c>
      <c r="D49" s="1" t="s">
        <v>36</v>
      </c>
      <c r="E49" s="2">
        <v>1754</v>
      </c>
      <c r="F49" s="2">
        <v>1753</v>
      </c>
      <c r="G49" s="2">
        <v>-1</v>
      </c>
      <c r="H49" s="2">
        <v>8142.2</v>
      </c>
      <c r="I49" s="2">
        <v>7696.3</v>
      </c>
      <c r="J49" s="2">
        <v>-445.9</v>
      </c>
    </row>
    <row r="50" spans="1:10" x14ac:dyDescent="0.2">
      <c r="A50" s="1" t="s">
        <v>53</v>
      </c>
      <c r="B50" s="1">
        <v>909881</v>
      </c>
      <c r="C50" s="1" t="s">
        <v>59</v>
      </c>
      <c r="D50" s="1" t="s">
        <v>12</v>
      </c>
      <c r="E50" s="2">
        <v>2484</v>
      </c>
      <c r="F50" s="2">
        <v>2488</v>
      </c>
      <c r="G50" s="2">
        <v>4</v>
      </c>
      <c r="H50" s="2">
        <v>10420</v>
      </c>
      <c r="I50" s="2">
        <v>8248.6</v>
      </c>
      <c r="J50" s="2">
        <v>-2171.4</v>
      </c>
    </row>
    <row r="51" spans="1:10" x14ac:dyDescent="0.2">
      <c r="A51" s="1" t="s">
        <v>31</v>
      </c>
      <c r="B51" s="1">
        <v>909894</v>
      </c>
      <c r="C51" s="1" t="s">
        <v>59</v>
      </c>
      <c r="D51" s="1" t="s">
        <v>36</v>
      </c>
      <c r="E51" s="2">
        <v>2980</v>
      </c>
      <c r="F51" s="2">
        <v>2986</v>
      </c>
      <c r="G51" s="2">
        <v>6</v>
      </c>
      <c r="H51" s="2">
        <v>12961</v>
      </c>
      <c r="I51" s="2">
        <v>11571.1</v>
      </c>
      <c r="J51" s="2">
        <v>-1389.9</v>
      </c>
    </row>
    <row r="52" spans="1:10" x14ac:dyDescent="0.2">
      <c r="A52" s="1" t="s">
        <v>31</v>
      </c>
      <c r="B52" s="1">
        <v>909907</v>
      </c>
      <c r="C52" s="1" t="s">
        <v>59</v>
      </c>
      <c r="D52" s="1" t="s">
        <v>60</v>
      </c>
      <c r="E52" s="2">
        <v>798</v>
      </c>
      <c r="F52" s="2">
        <v>797</v>
      </c>
      <c r="G52" s="2">
        <v>-1</v>
      </c>
      <c r="H52" s="2">
        <v>1364</v>
      </c>
      <c r="I52" s="2">
        <v>4802.5</v>
      </c>
      <c r="J52" s="2">
        <v>3438.5</v>
      </c>
    </row>
    <row r="53" spans="1:10" x14ac:dyDescent="0.2">
      <c r="A53" s="1" t="s">
        <v>13</v>
      </c>
      <c r="B53" s="1">
        <v>909910</v>
      </c>
      <c r="C53" s="1" t="s">
        <v>59</v>
      </c>
      <c r="D53" s="1" t="s">
        <v>12</v>
      </c>
      <c r="E53" s="2">
        <v>3676</v>
      </c>
      <c r="F53" s="2">
        <v>3703</v>
      </c>
      <c r="G53" s="2">
        <v>27</v>
      </c>
      <c r="H53" s="2">
        <v>14453.8</v>
      </c>
      <c r="I53" s="2">
        <v>11782.9</v>
      </c>
      <c r="J53" s="2">
        <v>-2670.9</v>
      </c>
    </row>
    <row r="54" spans="1:10" x14ac:dyDescent="0.2">
      <c r="A54" s="1" t="s">
        <v>13</v>
      </c>
      <c r="B54" s="1">
        <v>909910</v>
      </c>
      <c r="C54" s="1" t="s">
        <v>59</v>
      </c>
      <c r="D54" s="1" t="s">
        <v>36</v>
      </c>
      <c r="E54" s="2">
        <v>3131</v>
      </c>
      <c r="F54" s="2">
        <v>3144</v>
      </c>
      <c r="G54" s="2">
        <v>13</v>
      </c>
      <c r="H54" s="2">
        <v>12543</v>
      </c>
      <c r="I54" s="2">
        <v>11214.4</v>
      </c>
      <c r="J54" s="2">
        <v>-1328.6</v>
      </c>
    </row>
    <row r="55" spans="1:10" x14ac:dyDescent="0.2">
      <c r="A55" s="1" t="s">
        <v>61</v>
      </c>
      <c r="B55" s="1">
        <v>909920</v>
      </c>
      <c r="C55" s="1" t="s">
        <v>59</v>
      </c>
      <c r="D55" s="1" t="s">
        <v>12</v>
      </c>
      <c r="E55" s="2">
        <v>1242</v>
      </c>
      <c r="F55" s="2">
        <v>1259</v>
      </c>
      <c r="G55" s="2">
        <v>17</v>
      </c>
      <c r="H55" s="2">
        <v>6525</v>
      </c>
      <c r="I55" s="2">
        <v>5665.5</v>
      </c>
      <c r="J55" s="2">
        <v>-859.5</v>
      </c>
    </row>
    <row r="56" spans="1:10" x14ac:dyDescent="0.2">
      <c r="A56" s="1" t="s">
        <v>61</v>
      </c>
      <c r="B56" s="1">
        <v>909920</v>
      </c>
      <c r="C56" s="1" t="s">
        <v>59</v>
      </c>
      <c r="D56" s="1" t="s">
        <v>36</v>
      </c>
      <c r="E56" s="2">
        <v>614</v>
      </c>
      <c r="F56" s="2">
        <v>585</v>
      </c>
      <c r="G56" s="2">
        <v>-29</v>
      </c>
      <c r="H56" s="2">
        <v>1043.8</v>
      </c>
      <c r="I56" s="2">
        <v>702</v>
      </c>
      <c r="J56" s="2">
        <v>-341.8</v>
      </c>
    </row>
    <row r="57" spans="1:10" x14ac:dyDescent="0.2">
      <c r="A57" s="1" t="s">
        <v>38</v>
      </c>
      <c r="B57" s="1">
        <v>909933</v>
      </c>
      <c r="C57" s="1" t="s">
        <v>59</v>
      </c>
      <c r="D57" s="1" t="s">
        <v>36</v>
      </c>
      <c r="E57" s="2">
        <v>1215</v>
      </c>
      <c r="F57" s="2">
        <v>1216</v>
      </c>
      <c r="G57" s="2">
        <v>1</v>
      </c>
      <c r="H57" s="2">
        <v>7594.3</v>
      </c>
      <c r="I57" s="2">
        <v>7904</v>
      </c>
      <c r="J57" s="2">
        <v>309.7</v>
      </c>
    </row>
    <row r="58" spans="1:10" x14ac:dyDescent="0.2">
      <c r="A58" s="1" t="s">
        <v>38</v>
      </c>
      <c r="B58" s="1">
        <v>909933</v>
      </c>
      <c r="C58" s="1" t="s">
        <v>59</v>
      </c>
      <c r="D58" s="1" t="s">
        <v>60</v>
      </c>
      <c r="E58" s="2">
        <v>474</v>
      </c>
      <c r="F58" s="2">
        <v>473</v>
      </c>
      <c r="G58" s="2">
        <v>-1</v>
      </c>
      <c r="H58" s="2">
        <v>3792</v>
      </c>
      <c r="I58" s="2">
        <v>3642.1</v>
      </c>
      <c r="J58" s="2">
        <v>-149.9</v>
      </c>
    </row>
    <row r="59" spans="1:10" x14ac:dyDescent="0.2">
      <c r="A59" s="1" t="s">
        <v>38</v>
      </c>
      <c r="B59" s="1">
        <v>909940</v>
      </c>
      <c r="C59" s="1" t="s">
        <v>59</v>
      </c>
      <c r="D59" s="1" t="s">
        <v>36</v>
      </c>
      <c r="E59" s="2">
        <v>1227</v>
      </c>
      <c r="F59" s="2">
        <v>1227</v>
      </c>
      <c r="G59" s="2">
        <v>0</v>
      </c>
      <c r="H59" s="2">
        <v>7675.5</v>
      </c>
      <c r="I59" s="2">
        <v>7362</v>
      </c>
      <c r="J59" s="2">
        <v>-313.5</v>
      </c>
    </row>
    <row r="60" spans="1:10" x14ac:dyDescent="0.2">
      <c r="A60" s="1" t="s">
        <v>38</v>
      </c>
      <c r="B60" s="1">
        <v>909940</v>
      </c>
      <c r="C60" s="1" t="s">
        <v>59</v>
      </c>
      <c r="D60" s="1" t="s">
        <v>60</v>
      </c>
      <c r="E60" s="2">
        <v>457</v>
      </c>
      <c r="F60" s="2">
        <v>462</v>
      </c>
      <c r="G60" s="2">
        <v>5</v>
      </c>
      <c r="H60" s="2">
        <v>3656</v>
      </c>
      <c r="I60" s="2">
        <v>3234</v>
      </c>
      <c r="J60" s="2">
        <v>-422</v>
      </c>
    </row>
    <row r="61" spans="1:10" x14ac:dyDescent="0.2">
      <c r="A61" s="1" t="s">
        <v>39</v>
      </c>
      <c r="B61" s="1">
        <v>909950</v>
      </c>
      <c r="C61" s="1" t="s">
        <v>59</v>
      </c>
      <c r="D61" s="1" t="s">
        <v>12</v>
      </c>
      <c r="E61" s="2">
        <v>3594</v>
      </c>
      <c r="F61" s="2">
        <v>3646</v>
      </c>
      <c r="G61" s="2">
        <v>52</v>
      </c>
      <c r="H61" s="2">
        <v>12105.2</v>
      </c>
      <c r="I61" s="2">
        <v>11218</v>
      </c>
      <c r="J61" s="2">
        <v>-887.2</v>
      </c>
    </row>
    <row r="62" spans="1:10" x14ac:dyDescent="0.2">
      <c r="A62" s="1" t="s">
        <v>40</v>
      </c>
      <c r="B62" s="1">
        <v>909957</v>
      </c>
      <c r="C62" s="1" t="s">
        <v>59</v>
      </c>
      <c r="D62" s="1" t="s">
        <v>36</v>
      </c>
      <c r="E62" s="2">
        <v>1177</v>
      </c>
      <c r="F62" s="2">
        <v>1185</v>
      </c>
      <c r="G62" s="2">
        <v>8</v>
      </c>
      <c r="H62" s="2">
        <v>6297.4</v>
      </c>
      <c r="I62" s="2">
        <v>6517.5</v>
      </c>
      <c r="J62" s="2">
        <v>220.1</v>
      </c>
    </row>
    <row r="63" spans="1:10" x14ac:dyDescent="0.2">
      <c r="A63" s="1" t="s">
        <v>41</v>
      </c>
      <c r="B63" s="1">
        <v>909964</v>
      </c>
      <c r="C63" s="1" t="s">
        <v>59</v>
      </c>
      <c r="D63" s="1" t="s">
        <v>60</v>
      </c>
      <c r="E63" s="2">
        <v>469</v>
      </c>
      <c r="F63" s="2">
        <v>469</v>
      </c>
      <c r="G63" s="2">
        <v>0</v>
      </c>
      <c r="H63" s="2">
        <v>3517.5</v>
      </c>
      <c r="I63" s="2">
        <v>2814</v>
      </c>
      <c r="J63" s="2">
        <v>-703.5</v>
      </c>
    </row>
    <row r="64" spans="1:10" x14ac:dyDescent="0.2">
      <c r="A64" s="1" t="s">
        <v>41</v>
      </c>
      <c r="B64" s="1">
        <v>909964</v>
      </c>
      <c r="C64" s="1" t="s">
        <v>59</v>
      </c>
      <c r="D64" s="1" t="s">
        <v>12</v>
      </c>
      <c r="E64" s="2">
        <v>554</v>
      </c>
      <c r="F64" s="2">
        <v>556</v>
      </c>
      <c r="G64" s="2">
        <v>2</v>
      </c>
      <c r="H64" s="2">
        <v>2770</v>
      </c>
      <c r="I64" s="2">
        <v>2001.6</v>
      </c>
      <c r="J64" s="2">
        <v>-768.4</v>
      </c>
    </row>
    <row r="65" spans="1:10" x14ac:dyDescent="0.2">
      <c r="A65" s="1" t="s">
        <v>16</v>
      </c>
      <c r="B65" s="1">
        <v>909983</v>
      </c>
      <c r="C65" s="1" t="s">
        <v>59</v>
      </c>
      <c r="D65" s="1" t="s">
        <v>60</v>
      </c>
      <c r="E65" s="2">
        <v>732</v>
      </c>
      <c r="F65" s="2">
        <v>751</v>
      </c>
      <c r="G65" s="2">
        <v>19</v>
      </c>
      <c r="H65" s="2">
        <v>2859</v>
      </c>
      <c r="I65" s="2">
        <v>2876</v>
      </c>
      <c r="J65" s="2">
        <v>17</v>
      </c>
    </row>
    <row r="66" spans="1:10" x14ac:dyDescent="0.2">
      <c r="A66" s="1" t="s">
        <v>16</v>
      </c>
      <c r="B66" s="1">
        <v>909983</v>
      </c>
      <c r="C66" s="1" t="s">
        <v>59</v>
      </c>
      <c r="D66" s="1" t="s">
        <v>36</v>
      </c>
      <c r="E66" s="2">
        <v>518</v>
      </c>
      <c r="F66" s="2">
        <v>517</v>
      </c>
      <c r="G66" s="2">
        <v>-1</v>
      </c>
      <c r="H66" s="2">
        <v>518</v>
      </c>
      <c r="I66" s="2">
        <v>517</v>
      </c>
      <c r="J66" s="2">
        <v>-1</v>
      </c>
    </row>
    <row r="67" spans="1:10" x14ac:dyDescent="0.2">
      <c r="A67" s="1" t="s">
        <v>30</v>
      </c>
      <c r="B67" s="1">
        <v>909992</v>
      </c>
      <c r="C67" s="1" t="s">
        <v>59</v>
      </c>
      <c r="D67" s="1" t="s">
        <v>36</v>
      </c>
      <c r="E67" s="2">
        <v>2613</v>
      </c>
      <c r="F67" s="2">
        <v>2614</v>
      </c>
      <c r="G67" s="2">
        <v>1</v>
      </c>
      <c r="H67" s="2">
        <v>8044.5</v>
      </c>
      <c r="I67" s="2">
        <v>8850</v>
      </c>
      <c r="J67" s="2">
        <v>805.5</v>
      </c>
    </row>
    <row r="68" spans="1:10" x14ac:dyDescent="0.2">
      <c r="A68" s="1" t="s">
        <v>44</v>
      </c>
      <c r="B68" s="1">
        <v>910011</v>
      </c>
      <c r="C68" s="1" t="s">
        <v>59</v>
      </c>
      <c r="D68" s="1" t="s">
        <v>12</v>
      </c>
      <c r="E68" s="2">
        <v>2278</v>
      </c>
      <c r="F68" s="2">
        <v>2296</v>
      </c>
      <c r="G68" s="2">
        <v>18</v>
      </c>
      <c r="H68" s="2">
        <v>10785.7</v>
      </c>
      <c r="I68" s="2">
        <v>8697.5</v>
      </c>
      <c r="J68" s="2">
        <v>-2088.1999999999998</v>
      </c>
    </row>
    <row r="69" spans="1:10" x14ac:dyDescent="0.2">
      <c r="A69" s="1" t="s">
        <v>29</v>
      </c>
      <c r="B69" s="1">
        <v>26009457</v>
      </c>
      <c r="C69" s="1" t="s">
        <v>42</v>
      </c>
      <c r="D69" s="1" t="s">
        <v>62</v>
      </c>
      <c r="E69" s="2">
        <v>544</v>
      </c>
      <c r="F69" s="2">
        <v>0</v>
      </c>
      <c r="G69" s="2">
        <v>-544</v>
      </c>
      <c r="H69" s="2">
        <v>2720</v>
      </c>
      <c r="I69" s="2">
        <v>0</v>
      </c>
      <c r="J69" s="2">
        <v>-2720</v>
      </c>
    </row>
    <row r="70" spans="1:10" x14ac:dyDescent="0.2">
      <c r="A70" s="1" t="s">
        <v>29</v>
      </c>
      <c r="B70" s="1">
        <v>26009457</v>
      </c>
      <c r="C70" s="1" t="s">
        <v>42</v>
      </c>
      <c r="D70" s="1" t="s">
        <v>63</v>
      </c>
      <c r="E70" s="2">
        <v>554</v>
      </c>
      <c r="F70" s="2">
        <v>0</v>
      </c>
      <c r="G70" s="2">
        <v>-554</v>
      </c>
      <c r="H70" s="2">
        <v>2770</v>
      </c>
      <c r="I70" s="2">
        <v>0</v>
      </c>
      <c r="J70" s="2">
        <v>-2770</v>
      </c>
    </row>
    <row r="71" spans="1:10" x14ac:dyDescent="0.2">
      <c r="A71" s="1" t="s">
        <v>30</v>
      </c>
      <c r="B71" s="1">
        <v>26009496</v>
      </c>
      <c r="C71" s="1" t="s">
        <v>42</v>
      </c>
      <c r="D71" s="1" t="s">
        <v>63</v>
      </c>
      <c r="E71" s="2">
        <v>565</v>
      </c>
      <c r="F71" s="2">
        <v>0</v>
      </c>
      <c r="G71" s="2">
        <v>-565</v>
      </c>
      <c r="H71" s="2">
        <v>0</v>
      </c>
      <c r="I71" s="2">
        <v>0</v>
      </c>
      <c r="J71" s="2">
        <v>0</v>
      </c>
    </row>
    <row r="72" spans="1:10" x14ac:dyDescent="0.2">
      <c r="A72" s="1" t="s">
        <v>30</v>
      </c>
      <c r="B72" s="1">
        <v>26009496</v>
      </c>
      <c r="C72" s="1" t="s">
        <v>42</v>
      </c>
      <c r="D72" s="1" t="s">
        <v>62</v>
      </c>
      <c r="E72" s="2">
        <v>550</v>
      </c>
      <c r="F72" s="2">
        <v>0</v>
      </c>
      <c r="G72" s="2">
        <v>-550</v>
      </c>
      <c r="H72" s="2">
        <v>2750</v>
      </c>
      <c r="I72" s="2">
        <v>0</v>
      </c>
      <c r="J72" s="2">
        <v>-2750</v>
      </c>
    </row>
    <row r="73" spans="1:10" x14ac:dyDescent="0.2">
      <c r="A73" s="1" t="s">
        <v>20</v>
      </c>
      <c r="B73" s="1">
        <v>26009556</v>
      </c>
      <c r="C73" s="1" t="s">
        <v>42</v>
      </c>
      <c r="D73" s="1" t="s">
        <v>62</v>
      </c>
      <c r="E73" s="2">
        <v>1088</v>
      </c>
      <c r="F73" s="2">
        <v>0</v>
      </c>
      <c r="G73" s="2">
        <v>-1088</v>
      </c>
      <c r="H73" s="2">
        <v>4332.8</v>
      </c>
      <c r="I73" s="2">
        <v>0</v>
      </c>
      <c r="J73" s="2">
        <v>-4332.8</v>
      </c>
    </row>
    <row r="74" spans="1:10" ht="15" x14ac:dyDescent="0.25">
      <c r="A74" s="6" t="s">
        <v>64</v>
      </c>
      <c r="B74" s="6"/>
      <c r="C74" s="6"/>
      <c r="D74" s="6"/>
      <c r="E74" s="7">
        <f>SUM(E2:E73)</f>
        <v>92003</v>
      </c>
      <c r="F74" s="7">
        <f t="shared" ref="F74:J74" si="0">SUM(F2:F73)</f>
        <v>83880.489999999991</v>
      </c>
      <c r="G74" s="7">
        <f t="shared" si="0"/>
        <v>-8122.51</v>
      </c>
      <c r="H74" s="7">
        <f t="shared" si="0"/>
        <v>360646.40000000002</v>
      </c>
      <c r="I74" s="7">
        <f t="shared" si="0"/>
        <v>339946.16999999993</v>
      </c>
      <c r="J74" s="7">
        <f t="shared" si="0"/>
        <v>-20700.230000000003</v>
      </c>
    </row>
    <row r="75" spans="1:10" x14ac:dyDescent="0.2">
      <c r="J7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השוואה מרוכזת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shlomit.fld@gmail.com</cp:lastModifiedBy>
  <dcterms:created xsi:type="dcterms:W3CDTF">2026-10-19T10:37:11Z</dcterms:created>
  <dcterms:modified xsi:type="dcterms:W3CDTF">2026-10-19T10:46:11Z</dcterms:modified>
</cp:coreProperties>
</file>